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si\Downloads\"/>
    </mc:Choice>
  </mc:AlternateContent>
  <xr:revisionPtr revIDLastSave="0" documentId="13_ncr:1_{074AE8F5-FE29-43D7-BCF7-3A4560E29257}" xr6:coauthVersionLast="47" xr6:coauthVersionMax="47" xr10:uidLastSave="{00000000-0000-0000-0000-000000000000}"/>
  <bookViews>
    <workbookView xWindow="3510" yWindow="3510" windowWidth="12615" windowHeight="8610" xr2:uid="{6D4239B6-D44D-44C6-AC18-AE19148E2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  <c r="B35" i="1"/>
  <c r="B34" i="1"/>
  <c r="B33" i="1"/>
  <c r="C14" i="1"/>
  <c r="B14" i="1"/>
  <c r="G25" i="1"/>
  <c r="B25" i="1" s="1"/>
  <c r="G28" i="1"/>
  <c r="F28" i="1"/>
  <c r="I18" i="1"/>
  <c r="H18" i="1"/>
  <c r="B13" i="1"/>
  <c r="B12" i="1"/>
  <c r="E7" i="1"/>
  <c r="B7" i="1"/>
  <c r="B3" i="1"/>
  <c r="B4" i="1" s="1"/>
  <c r="B28" i="1" l="1"/>
  <c r="B19" i="1"/>
  <c r="C21" i="1"/>
  <c r="C22" i="1" s="1"/>
  <c r="B21" i="1"/>
  <c r="B22" i="1" s="1"/>
  <c r="B20" i="1"/>
</calcChain>
</file>

<file path=xl/sharedStrings.xml><?xml version="1.0" encoding="utf-8"?>
<sst xmlns="http://schemas.openxmlformats.org/spreadsheetml/2006/main" count="44" uniqueCount="24">
  <si>
    <t>real</t>
  </si>
  <si>
    <t>imag</t>
  </si>
  <si>
    <t>val max</t>
  </si>
  <si>
    <t>u</t>
  </si>
  <si>
    <t>i</t>
  </si>
  <si>
    <t>Q</t>
  </si>
  <si>
    <t>L</t>
  </si>
  <si>
    <t>f</t>
  </si>
  <si>
    <t>S</t>
  </si>
  <si>
    <t>C</t>
  </si>
  <si>
    <t>C real</t>
  </si>
  <si>
    <t>omega</t>
  </si>
  <si>
    <t>M</t>
  </si>
  <si>
    <t>i1</t>
  </si>
  <si>
    <t>L real</t>
  </si>
  <si>
    <t>val masura</t>
  </si>
  <si>
    <t>val efect.</t>
  </si>
  <si>
    <t>BOBINA</t>
  </si>
  <si>
    <t>CONDENSATOR</t>
  </si>
  <si>
    <t>BOBINE CUPL</t>
  </si>
  <si>
    <t>REZONANTA</t>
  </si>
  <si>
    <t>REZISTOR</t>
  </si>
  <si>
    <t>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</si>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</sst>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0" fillId="0" borderId="2" xfId="0" applyBorder="1"/>
    <xf numFmtId="0" fontId="1" fillId="0" borderId="0" xfId="0" applyFont="1"/>
    <xf numFmtId="2" fontId="0" fillId="2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C0C1-5C0F-4F9E-9AB5-D5918276BC89}">
  <dimension ref="A2:I35"/>
  <sheetViews>
    <sheetView tabSelected="1" topLeftCell="A7" workbookViewId="0">
      <selection activeCell="G32" sqref="G32"/>
    </sheetView>
  </sheetViews>
  <sheetFormatPr defaultRowHeight="15" x14ac:dyDescent="0.25"/>
  <cols>
    <col min="1" max="1" width="13.7109375" customWidth="1"/>
  </cols>
  <sheetData>
    <row r="2" spans="1:6" x14ac:dyDescent="0.25">
      <c r="C2" t="s">
        <v>0</v>
      </c>
      <c r="D2" t="s">
        <v>1</v>
      </c>
    </row>
    <row r="3" spans="1:6" x14ac:dyDescent="0.25">
      <c r="A3" t="s">
        <v>15</v>
      </c>
      <c r="B3">
        <f>SQRT(C3*C3+D3*D3)</f>
        <v>43.931765272977593</v>
      </c>
      <c r="C3" s="1">
        <v>33</v>
      </c>
      <c r="D3" s="1">
        <v>-29</v>
      </c>
    </row>
    <row r="4" spans="1:6" x14ac:dyDescent="0.25">
      <c r="A4" t="s">
        <v>2</v>
      </c>
      <c r="B4">
        <f>B3*SQRT(2)</f>
        <v>62.128898268036274</v>
      </c>
    </row>
    <row r="6" spans="1:6" x14ac:dyDescent="0.25">
      <c r="A6" t="s">
        <v>2</v>
      </c>
      <c r="B6" s="1">
        <v>41</v>
      </c>
      <c r="D6" t="s">
        <v>16</v>
      </c>
      <c r="E6" s="1">
        <v>41</v>
      </c>
    </row>
    <row r="7" spans="1:6" x14ac:dyDescent="0.25">
      <c r="A7" t="s">
        <v>16</v>
      </c>
      <c r="B7">
        <f>B6/SQRT(2)</f>
        <v>28.991378028648448</v>
      </c>
      <c r="D7" t="s">
        <v>2</v>
      </c>
      <c r="E7">
        <f>E6*SQRT(2)</f>
        <v>57.982756057296903</v>
      </c>
    </row>
    <row r="9" spans="1:6" ht="15.75" thickBot="1" x14ac:dyDescent="0.3"/>
    <row r="10" spans="1:6" ht="15.75" thickBot="1" x14ac:dyDescent="0.3">
      <c r="A10" s="4" t="s">
        <v>17</v>
      </c>
      <c r="C10" s="3" t="s">
        <v>3</v>
      </c>
      <c r="D10" s="3" t="s">
        <v>4</v>
      </c>
      <c r="E10" s="3" t="s">
        <v>6</v>
      </c>
      <c r="F10" s="3" t="s">
        <v>7</v>
      </c>
    </row>
    <row r="11" spans="1:6" x14ac:dyDescent="0.25">
      <c r="C11" s="5">
        <v>17.7</v>
      </c>
      <c r="D11" s="5"/>
      <c r="E11" s="5">
        <v>2.1</v>
      </c>
      <c r="F11" s="5">
        <v>94</v>
      </c>
    </row>
    <row r="12" spans="1:6" x14ac:dyDescent="0.25">
      <c r="A12" t="s">
        <v>3</v>
      </c>
      <c r="B12">
        <f>2*F11*E11/1000*D11*PI()</f>
        <v>0</v>
      </c>
    </row>
    <row r="13" spans="1:6" x14ac:dyDescent="0.25">
      <c r="A13" t="s">
        <v>4</v>
      </c>
      <c r="B13">
        <f>C11/(2*F11*E11/1000*PI())</f>
        <v>14.270731979364475</v>
      </c>
    </row>
    <row r="14" spans="1:6" x14ac:dyDescent="0.25">
      <c r="A14" t="s">
        <v>5</v>
      </c>
      <c r="B14">
        <f>2*PI()*F11*E11/1000*D11*D11</f>
        <v>0</v>
      </c>
      <c r="C14">
        <f>C11*C11/(2*PI()*F11*E11/1000)</f>
        <v>252.59195603475115</v>
      </c>
    </row>
    <row r="16" spans="1:6" ht="15.75" thickBot="1" x14ac:dyDescent="0.3"/>
    <row r="17" spans="1:9" ht="15.75" thickBot="1" x14ac:dyDescent="0.3">
      <c r="A17" s="4" t="s">
        <v>18</v>
      </c>
      <c r="C17" s="3" t="s">
        <v>3</v>
      </c>
      <c r="D17" s="3" t="s">
        <v>4</v>
      </c>
      <c r="E17" s="3" t="s">
        <v>9</v>
      </c>
      <c r="F17" s="3" t="s">
        <v>7</v>
      </c>
      <c r="H17" t="s">
        <v>10</v>
      </c>
      <c r="I17" t="s">
        <v>11</v>
      </c>
    </row>
    <row r="18" spans="1:9" x14ac:dyDescent="0.25">
      <c r="C18" s="2">
        <v>19.600000000000001</v>
      </c>
      <c r="D18" s="2"/>
      <c r="E18" s="2">
        <v>119</v>
      </c>
      <c r="F18" s="2">
        <v>134</v>
      </c>
      <c r="H18">
        <f>E18/POWER(10, 6)</f>
        <v>1.1900000000000001E-4</v>
      </c>
      <c r="I18">
        <f>2*PI()*F18</f>
        <v>841.94683116206454</v>
      </c>
    </row>
    <row r="19" spans="1:9" x14ac:dyDescent="0.25">
      <c r="A19" t="s">
        <v>3</v>
      </c>
      <c r="B19">
        <f>D18/(I18*H18)</f>
        <v>0</v>
      </c>
    </row>
    <row r="20" spans="1:9" x14ac:dyDescent="0.25">
      <c r="A20" t="s">
        <v>4</v>
      </c>
      <c r="B20">
        <f>I18*H18*C18</f>
        <v>1.9637567890023997</v>
      </c>
    </row>
    <row r="21" spans="1:9" x14ac:dyDescent="0.25">
      <c r="A21" t="s">
        <v>5</v>
      </c>
      <c r="B21">
        <f>-D18*D18/(I18*H18)</f>
        <v>0</v>
      </c>
      <c r="C21">
        <f>-I18*H18*C18*C18</f>
        <v>-38.489633064447034</v>
      </c>
    </row>
    <row r="22" spans="1:9" x14ac:dyDescent="0.25">
      <c r="A22" t="s">
        <v>8</v>
      </c>
      <c r="B22">
        <f>-B21</f>
        <v>0</v>
      </c>
      <c r="C22">
        <f>-C21</f>
        <v>38.489633064447034</v>
      </c>
    </row>
    <row r="23" spans="1:9" ht="15.75" thickBot="1" x14ac:dyDescent="0.3"/>
    <row r="24" spans="1:9" ht="15.75" thickBot="1" x14ac:dyDescent="0.3">
      <c r="C24" s="3" t="s">
        <v>7</v>
      </c>
      <c r="D24" s="3" t="s">
        <v>12</v>
      </c>
      <c r="E24" s="3" t="s">
        <v>13</v>
      </c>
      <c r="G24" t="s">
        <v>11</v>
      </c>
    </row>
    <row r="25" spans="1:9" x14ac:dyDescent="0.25">
      <c r="A25" s="4" t="s">
        <v>19</v>
      </c>
      <c r="B25">
        <f>G25*D25/1000*E25</f>
        <v>110.53982778179817</v>
      </c>
      <c r="C25" s="2">
        <v>119</v>
      </c>
      <c r="D25" s="2">
        <v>9.6</v>
      </c>
      <c r="E25" s="2">
        <v>15.4</v>
      </c>
      <c r="G25">
        <f>2*PI()*C25</f>
        <v>747.69905155437073</v>
      </c>
    </row>
    <row r="26" spans="1:9" ht="15.75" thickBot="1" x14ac:dyDescent="0.3"/>
    <row r="27" spans="1:9" ht="15.75" thickBot="1" x14ac:dyDescent="0.3">
      <c r="C27" s="3" t="s">
        <v>6</v>
      </c>
      <c r="D27" s="3" t="s">
        <v>9</v>
      </c>
      <c r="F27" t="s">
        <v>14</v>
      </c>
      <c r="G27" t="s">
        <v>10</v>
      </c>
    </row>
    <row r="28" spans="1:9" x14ac:dyDescent="0.25">
      <c r="A28" s="4" t="s">
        <v>20</v>
      </c>
      <c r="B28">
        <f>1/SQRT(F28*G28)</f>
        <v>1351.1046418374101</v>
      </c>
      <c r="C28" s="2">
        <v>3.3</v>
      </c>
      <c r="D28" s="2">
        <v>166</v>
      </c>
      <c r="F28">
        <f>C28/1000</f>
        <v>3.3E-3</v>
      </c>
      <c r="G28">
        <f>D28/POWER(10,6)</f>
        <v>1.66E-4</v>
      </c>
    </row>
    <row r="30" spans="1:9" ht="15.75" thickBot="1" x14ac:dyDescent="0.3"/>
    <row r="31" spans="1:9" ht="15.75" thickBot="1" x14ac:dyDescent="0.3">
      <c r="A31" s="4" t="s">
        <v>21</v>
      </c>
      <c r="C31" s="3" t="s">
        <v>3</v>
      </c>
      <c r="D31" s="3" t="s">
        <v>4</v>
      </c>
      <c r="E31" s="3" t="s">
        <v>22</v>
      </c>
    </row>
    <row r="32" spans="1:9" x14ac:dyDescent="0.25">
      <c r="C32" s="2">
        <v>85</v>
      </c>
      <c r="D32" s="2"/>
      <c r="E32" s="2">
        <v>11</v>
      </c>
    </row>
    <row r="33" spans="1:3" x14ac:dyDescent="0.25">
      <c r="A33" t="s">
        <v>3</v>
      </c>
      <c r="B33">
        <f>E32*D32</f>
        <v>0</v>
      </c>
    </row>
    <row r="34" spans="1:3" x14ac:dyDescent="0.25">
      <c r="A34" t="s">
        <v>4</v>
      </c>
      <c r="B34">
        <f>C32/E32</f>
        <v>7.7272727272727275</v>
      </c>
    </row>
    <row r="35" spans="1:3" x14ac:dyDescent="0.25">
      <c r="A35" t="s">
        <v>23</v>
      </c>
      <c r="B35">
        <f>E32*D32*D32</f>
        <v>0</v>
      </c>
      <c r="C35">
        <f>C32*C32/E32</f>
        <v>656.81818181818187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Baluta Alexia</dc:creator>
  <cp:lastModifiedBy>ramsi</cp:lastModifiedBy>
  <dcterms:created xsi:type="dcterms:W3CDTF">2021-06-17T16:07:34Z</dcterms:created>
  <dcterms:modified xsi:type="dcterms:W3CDTF">2021-06-17T21:26:13Z</dcterms:modified>
</cp:coreProperties>
</file>